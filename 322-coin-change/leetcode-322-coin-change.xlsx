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RHEL9\home\vulpski\projects\leetcode\322-coin-change\"/>
    </mc:Choice>
  </mc:AlternateContent>
  <xr:revisionPtr revIDLastSave="0" documentId="13_ncr:1_{0E7B40B6-E6D8-4739-B77D-1FA4285BC37B}" xr6:coauthVersionLast="47" xr6:coauthVersionMax="47" xr10:uidLastSave="{00000000-0000-0000-0000-000000000000}"/>
  <bookViews>
    <workbookView xWindow="-120" yWindow="-120" windowWidth="29040" windowHeight="15720" xr2:uid="{FCD05CCE-8025-4674-9DA7-D570B2130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 a="1"/>
  <c r="F9" i="1" s="1"/>
  <c r="G9" i="1" a="1"/>
  <c r="G9" i="1" s="1"/>
  <c r="G10" i="1" a="1"/>
  <c r="G10" i="1" s="1"/>
  <c r="G8" i="1" a="1"/>
  <c r="G8" i="1" s="1"/>
  <c r="F8" i="1" a="1"/>
  <c r="F8" i="1" s="1"/>
  <c r="E8" i="1" a="1"/>
  <c r="E8" i="1" s="1"/>
  <c r="D7" i="1"/>
  <c r="F10" i="1" s="1" a="1"/>
  <c r="F10" i="1" s="1"/>
  <c r="G11" i="1" l="1" a="1"/>
  <c r="G11" i="1" s="1"/>
  <c r="D8" i="1"/>
  <c r="E9" i="1" l="1" a="1"/>
  <c r="E9" i="1" s="1"/>
  <c r="D9" i="1" s="1"/>
  <c r="G12" i="1" a="1"/>
  <c r="G12" i="1" s="1"/>
  <c r="F11" i="1" a="1"/>
  <c r="F11" i="1" s="1"/>
  <c r="F12" i="1" l="1" a="1"/>
  <c r="F12" i="1" s="1"/>
  <c r="G13" i="1" a="1"/>
  <c r="G13" i="1" s="1"/>
  <c r="E10" i="1" a="1"/>
  <c r="E10" i="1" s="1"/>
  <c r="D10" i="1" s="1"/>
  <c r="F13" i="1" l="1" a="1"/>
  <c r="F13" i="1" s="1"/>
  <c r="E11" i="1" a="1"/>
  <c r="E11" i="1" s="1"/>
  <c r="D11" i="1" s="1"/>
  <c r="E12" i="1" s="1" a="1"/>
  <c r="E12" i="1" s="1"/>
  <c r="D12" i="1" s="1"/>
  <c r="E13" i="1" s="1" a="1"/>
  <c r="E13" i="1" s="1"/>
  <c r="D1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<sst xmlns="http://schemas.openxmlformats.org/spreadsheetml/2006/main" count="10" uniqueCount="10">
  <si>
    <t xml:space="preserve">amount = </t>
  </si>
  <si>
    <t>dp[i]</t>
  </si>
  <si>
    <t>dp[i] = dp[x-c]+1 for all coins c that are &lt;= x</t>
  </si>
  <si>
    <t xml:space="preserve">amounts (x) </t>
  </si>
  <si>
    <t>nums (c) =</t>
  </si>
  <si>
    <t>base case</t>
  </si>
  <si>
    <t>LeetCode 322: Coin Change</t>
  </si>
  <si>
    <t>coin 0</t>
  </si>
  <si>
    <t>coin 1</t>
  </si>
  <si>
    <t>coin2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</si>
</sst>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462661</xdr:colOff>
      <xdr:row>3</xdr:row>
      <xdr:rowOff>145381</xdr:rowOff>
    </xdr:from>
    <xdr:to>
      <xdr:col>13</xdr:col>
      <xdr:colOff>150395</xdr:colOff>
      <xdr:row>16</xdr:row>
      <xdr:rowOff>150493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C489016-159F-9F8E-6B7D-C7DD41F44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43898" y="716881"/>
          <a:ext cx="3357365" cy="25016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25F53-FA9B-4E52-A046-15463AA2CFB2}">
  <dimension ref="A1:H13"/>
  <sheetViews>
    <sheetView tabSelected="1" zoomScale="190" zoomScaleNormal="190" workbookViewId="0">
      <selection activeCell="N4" sqref="N4"/>
    </sheetView>
  </sheetViews>
  <sheetFormatPr defaultRowHeight="15" x14ac:dyDescent="0.25"/>
  <cols>
    <col min="1" max="16384" width="9.140625" style="1"/>
  </cols>
  <sheetData>
    <row r="1" spans="1:8" x14ac:dyDescent="0.25">
      <c r="A1" s="2" t="s">
        <v>6</v>
      </c>
    </row>
    <row r="3" spans="1:8" x14ac:dyDescent="0.25">
      <c r="B3" s="1" t="s">
        <v>4</v>
      </c>
      <c r="C3" s="1">
        <v>1</v>
      </c>
      <c r="D3" s="1">
        <v>3</v>
      </c>
      <c r="E3" s="1">
        <v>4</v>
      </c>
      <c r="H3" s="1" t="s">
        <v>2</v>
      </c>
    </row>
    <row r="4" spans="1:8" x14ac:dyDescent="0.25">
      <c r="B4" s="1" t="s">
        <v>0</v>
      </c>
      <c r="C4" s="1">
        <v>6</v>
      </c>
    </row>
    <row r="6" spans="1:8" x14ac:dyDescent="0.25">
      <c r="C6" s="1" t="s">
        <v>3</v>
      </c>
      <c r="D6" s="1" t="s">
        <v>1</v>
      </c>
      <c r="E6" s="1" t="s">
        <v>7</v>
      </c>
      <c r="F6" s="1" t="s">
        <v>8</v>
      </c>
      <c r="G6" s="1" t="s">
        <v>9</v>
      </c>
    </row>
    <row r="7" spans="1:8" x14ac:dyDescent="0.25">
      <c r="C7" s="1">
        <v>0</v>
      </c>
      <c r="D7" s="1">
        <f>0</f>
        <v>0</v>
      </c>
      <c r="E7" s="1" t="s">
        <v>5</v>
      </c>
    </row>
    <row r="8" spans="1:8" x14ac:dyDescent="0.25">
      <c r="C8" s="1">
        <v>1</v>
      </c>
      <c r="D8" s="1">
        <f>MIN(E8:G8)</f>
        <v>1</v>
      </c>
      <c r="E8" s="1" cm="1">
        <f t="array" ref="E8">IF(C$3&gt;$C8,$C$4+1,IFERROR(INDEX($D$7:$D$13,($C8-C$3)+1,1)+1,$C$4+1))</f>
        <v>1</v>
      </c>
      <c r="F8" s="1" cm="1">
        <f t="array" ref="F8">IF(D$3&gt;$C8,$C$4+1,IFERROR(INDEX($D$7:$D$13,($C8-D$3)+1,1)+1,$C$4+1))</f>
        <v>7</v>
      </c>
      <c r="G8" s="1" cm="1">
        <f t="array" ref="G8">IF(E$3&gt;$C8,$C$4+1,IFERROR(INDEX($D$7:$D$13,($C8-E$3)+1,1)+1,$C$4+1))</f>
        <v>7</v>
      </c>
    </row>
    <row r="9" spans="1:8" x14ac:dyDescent="0.25">
      <c r="C9" s="1">
        <v>2</v>
      </c>
      <c r="D9" s="1">
        <f>MIN(E9:F9)</f>
        <v>2</v>
      </c>
      <c r="E9" s="1" cm="1">
        <f t="array" ref="E9">IF(C$3&gt;$C9,$C$4+1,IFERROR(INDEX($D$7:$D$13,($C9-C$3)+1,1)+1,$C$4+1))</f>
        <v>2</v>
      </c>
      <c r="F9" s="1" cm="1">
        <f t="array" ref="F9">IF(D$3&gt;$C9,$C$4+1,IFERROR(INDEX($D$7:$D$13,($C9-D$3)+1,1)+1,$C$4+1))</f>
        <v>7</v>
      </c>
      <c r="G9" s="1" cm="1">
        <f t="array" ref="G9">IF(E$3&gt;$C9,$C$4+1,IFERROR(INDEX($D$7:$D$13,($C9-E$3)+1,1)+1,$C$4+1))</f>
        <v>7</v>
      </c>
    </row>
    <row r="10" spans="1:8" x14ac:dyDescent="0.25">
      <c r="C10" s="1">
        <v>3</v>
      </c>
      <c r="D10" s="1">
        <f>MIN(E10:F10)</f>
        <v>1</v>
      </c>
      <c r="E10" s="1" cm="1">
        <f t="array" ref="E10">IF(C$3&gt;$C10,$C$4+1,IFERROR(INDEX($D$7:$D$13,($C10-C$3)+1,1)+1,$C$4+1))</f>
        <v>3</v>
      </c>
      <c r="F10" s="1" cm="1">
        <f t="array" ref="F10">IF(D$3&gt;$C10,$C$4+1,IFERROR(INDEX($D$7:$D$13,($C10-D$3)+1,1)+1,$C$4+1))</f>
        <v>1</v>
      </c>
      <c r="G10" s="1" cm="1">
        <f t="array" ref="G10">IF(E$3&gt;$C10,$C$4+1,IFERROR(INDEX($D$7:$D$13,($C10-E$3)+1,1)+1,$C$4+1))</f>
        <v>7</v>
      </c>
    </row>
    <row r="11" spans="1:8" x14ac:dyDescent="0.25">
      <c r="C11" s="1">
        <v>4</v>
      </c>
      <c r="D11" s="1">
        <f>MIN(E11:F11)</f>
        <v>2</v>
      </c>
      <c r="E11" s="1" cm="1">
        <f t="array" ref="E11">IF(C$3&gt;$C11,$C$4+1,IFERROR(INDEX($D$7:$D$13,($C11-C$3)+1,1)+1,$C$4+1))</f>
        <v>2</v>
      </c>
      <c r="F11" s="1" cm="1">
        <f t="array" ref="F11">IF(D$3&gt;$C11,$C$4+1,IFERROR(INDEX($D$7:$D$13,($C11-D$3)+1,1)+1,$C$4+1))</f>
        <v>2</v>
      </c>
      <c r="G11" s="1" cm="1">
        <f t="array" ref="G11">IF(E$3&gt;$C11,$C$4+1,IFERROR(INDEX($D$7:$D$13,($C11-E$3)+1,1)+1,$C$4+1))</f>
        <v>1</v>
      </c>
    </row>
    <row r="12" spans="1:8" ht="15.75" thickBot="1" x14ac:dyDescent="0.3">
      <c r="C12" s="1">
        <v>5</v>
      </c>
      <c r="D12" s="1">
        <f>MIN(E12:F12)</f>
        <v>3</v>
      </c>
      <c r="E12" s="1" cm="1">
        <f t="array" ref="E12">IF(C$3&gt;$C12,$C$4+1,IFERROR(INDEX($D$7:$D$13,($C12-C$3)+1,1)+1,$C$4+1))</f>
        <v>3</v>
      </c>
      <c r="F12" s="1" cm="1">
        <f t="array" ref="F12">IF(D$3&gt;$C12,$C$4+1,IFERROR(INDEX($D$7:$D$13,($C12-D$3)+1,1)+1,$C$4+1))</f>
        <v>3</v>
      </c>
      <c r="G12" s="1" cm="1">
        <f t="array" ref="G12">IF(E$3&gt;$C12,$C$4+1,IFERROR(INDEX($D$7:$D$13,($C12-E$3)+1,1)+1,$C$4+1))</f>
        <v>2</v>
      </c>
    </row>
    <row r="13" spans="1:8" ht="15.75" thickBot="1" x14ac:dyDescent="0.3">
      <c r="C13" s="3">
        <v>6</v>
      </c>
      <c r="D13" s="4">
        <f>MIN(E13:F13)</f>
        <v>2</v>
      </c>
      <c r="E13" s="1" cm="1">
        <f t="array" ref="E13">IF(C$3&gt;$C13,$C$4+1,IFERROR(INDEX($D$7:$D$13,($C13-C$3)+1,1)+1,$C$4+1))</f>
        <v>4</v>
      </c>
      <c r="F13" s="1" cm="1">
        <f t="array" ref="F13">IF(D$3&gt;$C13,$C$4+1,IFERROR(INDEX($D$7:$D$13,($C13-D$3)+1,1)+1,$C$4+1))</f>
        <v>2</v>
      </c>
      <c r="G13" s="1" cm="1">
        <f t="array" ref="G13">IF(E$3&gt;$C13,$C$4+1,IFERROR(INDEX($D$7:$D$13,($C13-E$3)+1,1)+1,$C$4+1))</f>
        <v>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Linkowski</dc:creator>
  <cp:lastModifiedBy>David Linkowski</cp:lastModifiedBy>
  <dcterms:created xsi:type="dcterms:W3CDTF">2025-11-30T19:02:58Z</dcterms:created>
  <dcterms:modified xsi:type="dcterms:W3CDTF">2025-11-30T20:41:59Z</dcterms:modified>
</cp:coreProperties>
</file>